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UserLookup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TransactionID</t>
        </is>
      </c>
      <c r="B1" s="1" t="inlineStr">
        <is>
          <t>UserCode</t>
        </is>
      </c>
      <c r="C1" s="1" t="inlineStr">
        <is>
          <t>UserCode_Clean</t>
        </is>
      </c>
      <c r="D1" s="1" t="inlineStr">
        <is>
          <t>Amount</t>
        </is>
      </c>
      <c r="E1" s="1" t="inlineStr">
        <is>
          <t>PartnerFee</t>
        </is>
      </c>
      <c r="F1" s="1" t="inlineStr">
        <is>
          <t>NetAmount</t>
        </is>
      </c>
      <c r="G1" s="1" t="inlineStr">
        <is>
          <t>Status</t>
        </is>
      </c>
    </row>
    <row r="2">
      <c r="A2" t="inlineStr">
        <is>
          <t>TX001</t>
        </is>
      </c>
      <c r="B2" t="inlineStr">
        <is>
          <t xml:space="preserve"> SV001 </t>
        </is>
      </c>
      <c r="C2">
        <f>TRIM(B2)</f>
        <v/>
      </c>
      <c r="D2" t="n">
        <v>120000</v>
      </c>
      <c r="E2" t="n">
        <v>1200</v>
      </c>
      <c r="F2">
        <f>D2-E2</f>
        <v/>
      </c>
      <c r="G2" t="inlineStr">
        <is>
          <t>Completed</t>
        </is>
      </c>
    </row>
    <row r="3">
      <c r="A3" t="inlineStr">
        <is>
          <t>TX002</t>
        </is>
      </c>
      <c r="B3" t="inlineStr">
        <is>
          <t>SV002</t>
        </is>
      </c>
      <c r="C3">
        <f>TRIM(B3)</f>
        <v/>
      </c>
      <c r="D3" t="n">
        <v>80000</v>
      </c>
      <c r="E3" t="n">
        <v>800</v>
      </c>
      <c r="F3">
        <f>D3-E3</f>
        <v/>
      </c>
      <c r="G3" t="inlineStr">
        <is>
          <t>Completed</t>
        </is>
      </c>
    </row>
    <row r="4">
      <c r="A4" t="inlineStr">
        <is>
          <t>TX003</t>
        </is>
      </c>
      <c r="B4" t="inlineStr">
        <is>
          <t xml:space="preserve"> SV003</t>
        </is>
      </c>
      <c r="C4">
        <f>TRIM(B4)</f>
        <v/>
      </c>
      <c r="D4" t="n">
        <v>150000</v>
      </c>
      <c r="E4" t="n">
        <v>1500</v>
      </c>
      <c r="F4">
        <f>D4-E4</f>
        <v/>
      </c>
      <c r="G4" t="inlineStr">
        <is>
          <t>Completed</t>
        </is>
      </c>
    </row>
    <row r="5">
      <c r="A5" t="inlineStr">
        <is>
          <t>TX004</t>
        </is>
      </c>
      <c r="B5" t="inlineStr">
        <is>
          <t xml:space="preserve">SV004 </t>
        </is>
      </c>
      <c r="C5">
        <f>TRIM(B5)</f>
        <v/>
      </c>
      <c r="D5" t="n">
        <v>60000</v>
      </c>
      <c r="E5" t="n">
        <v>600</v>
      </c>
      <c r="F5">
        <f>D5-E5</f>
        <v/>
      </c>
      <c r="G5" t="inlineStr">
        <is>
          <t>Completed</t>
        </is>
      </c>
    </row>
    <row r="6">
      <c r="A6" t="inlineStr">
        <is>
          <t>TX005</t>
        </is>
      </c>
      <c r="B6" t="inlineStr">
        <is>
          <t>SV005</t>
        </is>
      </c>
      <c r="C6">
        <f>TRIM(B6)</f>
        <v/>
      </c>
      <c r="D6" t="n">
        <v>100000</v>
      </c>
      <c r="E6" t="n">
        <v>1000</v>
      </c>
      <c r="F6">
        <f>D6-E6</f>
        <v/>
      </c>
      <c r="G6" t="inlineStr">
        <is>
          <t>Refunded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UserCode</t>
        </is>
      </c>
      <c r="B1" s="1" t="inlineStr">
        <is>
          <t>UserName</t>
        </is>
      </c>
    </row>
    <row r="2">
      <c r="A2" t="inlineStr">
        <is>
          <t>SV001</t>
        </is>
      </c>
      <c r="B2" t="inlineStr">
        <is>
          <t>Nguyễn An</t>
        </is>
      </c>
    </row>
    <row r="3">
      <c r="A3" t="inlineStr">
        <is>
          <t>SV002</t>
        </is>
      </c>
      <c r="B3" t="inlineStr">
        <is>
          <t>Trần Bình</t>
        </is>
      </c>
    </row>
    <row r="4">
      <c r="A4" t="inlineStr">
        <is>
          <t>SV003</t>
        </is>
      </c>
      <c r="B4" t="inlineStr">
        <is>
          <t>Lê Chi</t>
        </is>
      </c>
    </row>
    <row r="5">
      <c r="A5" t="inlineStr">
        <is>
          <t>SV004</t>
        </is>
      </c>
      <c r="B5" t="inlineStr">
        <is>
          <t>Phạm Duy</t>
        </is>
      </c>
    </row>
    <row r="6">
      <c r="A6" t="inlineStr">
        <is>
          <t>SV005</t>
        </is>
      </c>
      <c r="B6" t="inlineStr">
        <is>
          <t>Hoàng Giang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TransactionID</t>
        </is>
      </c>
      <c r="B1" s="1" t="inlineStr">
        <is>
          <t>UserCode_Clean</t>
        </is>
      </c>
      <c r="C1" s="1" t="inlineStr">
        <is>
          <t>UserName_VLOOKUP</t>
        </is>
      </c>
      <c r="D1" s="1" t="inlineStr">
        <is>
          <t>Amount</t>
        </is>
      </c>
      <c r="E1" s="1" t="inlineStr">
        <is>
          <t>PartnerFee</t>
        </is>
      </c>
      <c r="F1" s="1" t="inlineStr">
        <is>
          <t>NetAmount</t>
        </is>
      </c>
    </row>
    <row r="2">
      <c r="A2">
        <f>Transactions!A2</f>
        <v/>
      </c>
      <c r="B2">
        <f>TRIM(Transactions!B2)</f>
        <v/>
      </c>
      <c r="C2">
        <f>VLOOKUP(B2,UserLookup!$A$2:$B$6,2,FALSE)</f>
        <v/>
      </c>
      <c r="D2">
        <f>Transactions!D2</f>
        <v/>
      </c>
      <c r="E2">
        <f>Transactions!E2</f>
        <v/>
      </c>
      <c r="F2">
        <f>Transactions!F2</f>
        <v/>
      </c>
    </row>
    <row r="3">
      <c r="A3">
        <f>Transactions!A3</f>
        <v/>
      </c>
      <c r="B3">
        <f>TRIM(Transactions!B3)</f>
        <v/>
      </c>
      <c r="C3">
        <f>VLOOKUP(B3,UserLookup!$A$2:$B$6,2,FALSE)</f>
        <v/>
      </c>
      <c r="D3">
        <f>Transactions!D3</f>
        <v/>
      </c>
      <c r="E3">
        <f>Transactions!E3</f>
        <v/>
      </c>
      <c r="F3">
        <f>Transactions!F3</f>
        <v/>
      </c>
    </row>
    <row r="4">
      <c r="A4">
        <f>Transactions!A4</f>
        <v/>
      </c>
      <c r="B4">
        <f>TRIM(Transactions!B4)</f>
        <v/>
      </c>
      <c r="C4">
        <f>VLOOKUP(B4,UserLookup!$A$2:$B$6,2,FALSE)</f>
        <v/>
      </c>
      <c r="D4">
        <f>Transactions!D4</f>
        <v/>
      </c>
      <c r="E4">
        <f>Transactions!E4</f>
        <v/>
      </c>
      <c r="F4">
        <f>Transactions!F4</f>
        <v/>
      </c>
    </row>
    <row r="5">
      <c r="A5">
        <f>Transactions!A5</f>
        <v/>
      </c>
      <c r="B5">
        <f>TRIM(Transactions!B5)</f>
        <v/>
      </c>
      <c r="C5">
        <f>VLOOKUP(B5,UserLookup!$A$2:$B$6,2,FALSE)</f>
        <v/>
      </c>
      <c r="D5">
        <f>Transactions!D5</f>
        <v/>
      </c>
      <c r="E5">
        <f>Transactions!E5</f>
        <v/>
      </c>
      <c r="F5">
        <f>Transactions!F5</f>
        <v/>
      </c>
    </row>
    <row r="6">
      <c r="A6">
        <f>Transactions!A6</f>
        <v/>
      </c>
      <c r="B6">
        <f>TRIM(Transactions!B6)</f>
        <v/>
      </c>
      <c r="C6">
        <f>VLOOKUP(B6,UserLookup!$A$2:$B$6,2,FALSE)</f>
        <v/>
      </c>
      <c r="D6">
        <f>Transactions!D6</f>
        <v/>
      </c>
      <c r="E6">
        <f>Transactions!E6</f>
        <v/>
      </c>
      <c r="F6">
        <f>Transactions!F6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2026-10-26T13:45:31Z</dcterms:created>
  <dcterms:modified xmlns:dcterms="http://purl.org/dc/terms/" xmlns:xsi="http://www.w3.org/2001/XMLSchema-instance" xsi:type="dcterms:W3CDTF">2026-10-26T13:45:31Z</dcterms:modified>
</cp:coreProperties>
</file>